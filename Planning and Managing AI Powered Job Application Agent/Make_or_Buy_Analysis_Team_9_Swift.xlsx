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shi_patel_northeastern_edu/Documents/INFO 6245/PM templates/"/>
    </mc:Choice>
  </mc:AlternateContent>
  <xr:revisionPtr revIDLastSave="0" documentId="8_{A7AE95C6-5E32-4C1D-977A-E96D8DFCEFC3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Make or Buy Analysi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G11" i="4"/>
  <c r="G10" i="4"/>
  <c r="G9" i="4"/>
  <c r="G8" i="4"/>
  <c r="G7" i="4"/>
  <c r="G6" i="4"/>
  <c r="F13" i="4"/>
  <c r="C23" i="4"/>
  <c r="D23" i="4"/>
  <c r="E23" i="4"/>
  <c r="F23" i="4"/>
  <c r="F24" i="4"/>
  <c r="E24" i="4"/>
  <c r="D24" i="4"/>
  <c r="C24" i="4"/>
  <c r="G16" i="4"/>
  <c r="G17" i="4"/>
  <c r="G18" i="4"/>
  <c r="G19" i="4"/>
  <c r="G20" i="4"/>
  <c r="G21" i="4"/>
  <c r="G22" i="4"/>
  <c r="G23" i="4"/>
  <c r="C13" i="4"/>
  <c r="D13" i="4"/>
  <c r="E13" i="4"/>
  <c r="F14" i="4"/>
  <c r="E14" i="4"/>
  <c r="D14" i="4"/>
  <c r="C14" i="4"/>
  <c r="G13" i="4" l="1"/>
</calcChain>
</file>

<file path=xl/sharedStrings.xml><?xml version="1.0" encoding="utf-8"?>
<sst xmlns="http://schemas.openxmlformats.org/spreadsheetml/2006/main" count="51" uniqueCount="24">
  <si>
    <t>Make or Buy Analysis</t>
  </si>
  <si>
    <t xml:space="preserve">The Most Cost-Effective Option is: </t>
  </si>
  <si>
    <t>MAKE</t>
  </si>
  <si>
    <t>Initial Costs</t>
  </si>
  <si>
    <t>Ongoing Costs</t>
  </si>
  <si>
    <t>TOTAL</t>
  </si>
  <si>
    <t>Cost to Make</t>
  </si>
  <si>
    <t>Initial</t>
  </si>
  <si>
    <t>Q4 2025</t>
  </si>
  <si>
    <t>Q1 2026</t>
  </si>
  <si>
    <t>Q2 2026</t>
  </si>
  <si>
    <t>Internal SME learning (200 hrs @ $60/hr)</t>
  </si>
  <si>
    <t>–</t>
  </si>
  <si>
    <t>Internal BA/PM analysis time</t>
  </si>
  <si>
    <t>Tools / research system cost</t>
  </si>
  <si>
    <t>Ongoing internal support</t>
  </si>
  <si>
    <t>Cumulative Chart</t>
  </si>
  <si>
    <t>Cost to Buy</t>
  </si>
  <si>
    <t>HR Tech Consultant (150 hrs @ $150/hr)</t>
  </si>
  <si>
    <t>Compliance Advisor (100 hrs @ $150/hr)</t>
  </si>
  <si>
    <t>Vendor admin / onboarding costs</t>
  </si>
  <si>
    <t>Ongoing vendor consultation</t>
  </si>
  <si>
    <r>
      <rPr>
        <sz val="11"/>
        <color theme="1"/>
        <rFont val="Segoe UI Symbol"/>
        <family val="2"/>
      </rPr>
      <t>◀</t>
    </r>
    <r>
      <rPr>
        <i/>
        <sz val="10"/>
        <color theme="1"/>
        <rFont val="Calibri"/>
        <family val="2"/>
      </rPr>
      <t xml:space="preserve"> Insert more rows to add more costs</t>
    </r>
    <r>
      <rPr>
        <i/>
        <sz val="11"/>
        <color theme="1"/>
        <rFont val="Calibri"/>
        <family val="2"/>
      </rPr>
      <t>. Copy the formulas and formatting from an existing row from above.</t>
    </r>
  </si>
  <si>
    <r>
      <rPr>
        <sz val="11"/>
        <color theme="1"/>
        <rFont val="Segoe UI Symbol"/>
        <family val="2"/>
      </rPr>
      <t>◀</t>
    </r>
    <r>
      <rPr>
        <i/>
        <sz val="10"/>
        <color theme="1"/>
        <rFont val="Calibri"/>
        <family val="2"/>
      </rPr>
      <t xml:space="preserve"> Insert more columns to add more years (or weeks or months). Copy over an existing column to ensure the formulas carry over.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</si>
</sst>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2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9"/>
      <color theme="1"/>
      <name val="Calibri"/>
      <family val="2"/>
    </font>
    <font>
      <b/>
      <sz val="13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3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1"/>
      <name val="Segoe UI Symbo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dotted">
        <color theme="1" tint="0.34998626667073579"/>
      </bottom>
      <diagonal/>
    </border>
    <border>
      <left/>
      <right style="medium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/>
      <right style="thin">
        <color indexed="64"/>
      </right>
      <top style="medium">
        <color indexed="64"/>
      </top>
      <bottom style="dott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/>
      <right style="thin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thin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4" fillId="2" borderId="6" xfId="0" applyFont="1" applyFill="1" applyBorder="1"/>
    <xf numFmtId="0" fontId="9" fillId="2" borderId="4" xfId="0" applyFont="1" applyFill="1" applyBorder="1" applyAlignment="1">
      <alignment horizontal="center" vertical="center"/>
    </xf>
    <xf numFmtId="0" fontId="6" fillId="3" borderId="8" xfId="0" applyFont="1" applyFill="1" applyBorder="1"/>
    <xf numFmtId="164" fontId="8" fillId="4" borderId="8" xfId="0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164" fontId="9" fillId="4" borderId="1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right" vertical="center" indent="1"/>
    </xf>
    <xf numFmtId="164" fontId="9" fillId="4" borderId="9" xfId="0" applyNumberFormat="1" applyFont="1" applyFill="1" applyBorder="1" applyAlignment="1">
      <alignment vertical="center"/>
    </xf>
    <xf numFmtId="164" fontId="9" fillId="4" borderId="7" xfId="0" applyNumberFormat="1" applyFont="1" applyFill="1" applyBorder="1" applyAlignment="1">
      <alignment vertical="center"/>
    </xf>
    <xf numFmtId="0" fontId="13" fillId="4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5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right" vertical="center" wrapText="1" indent="1"/>
    </xf>
    <xf numFmtId="164" fontId="10" fillId="0" borderId="16" xfId="0" applyNumberFormat="1" applyFont="1" applyBorder="1" applyAlignment="1">
      <alignment vertical="center"/>
    </xf>
    <xf numFmtId="0" fontId="10" fillId="0" borderId="17" xfId="0" applyFont="1" applyBorder="1" applyAlignment="1">
      <alignment horizontal="right" vertical="center" wrapText="1" indent="1"/>
    </xf>
    <xf numFmtId="164" fontId="10" fillId="0" borderId="18" xfId="0" applyNumberFormat="1" applyFont="1" applyBorder="1" applyAlignment="1">
      <alignment vertical="center"/>
    </xf>
    <xf numFmtId="164" fontId="10" fillId="0" borderId="18" xfId="1" applyFont="1" applyBorder="1" applyAlignment="1">
      <alignment vertical="center"/>
    </xf>
    <xf numFmtId="0" fontId="7" fillId="3" borderId="19" xfId="0" applyFont="1" applyFill="1" applyBorder="1" applyAlignment="1">
      <alignment horizontal="right" vertical="center" indent="1"/>
    </xf>
    <xf numFmtId="164" fontId="11" fillId="3" borderId="20" xfId="0" applyNumberFormat="1" applyFont="1" applyFill="1" applyBorder="1" applyAlignment="1">
      <alignment vertical="center"/>
    </xf>
    <xf numFmtId="164" fontId="11" fillId="3" borderId="21" xfId="0" applyNumberFormat="1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164" fontId="18" fillId="5" borderId="0" xfId="0" applyNumberFormat="1" applyFont="1" applyFill="1" applyAlignment="1">
      <alignment vertical="center"/>
    </xf>
    <xf numFmtId="164" fontId="18" fillId="5" borderId="12" xfId="0" applyNumberFormat="1" applyFont="1" applyFill="1" applyBorder="1" applyAlignment="1">
      <alignment vertical="center"/>
    </xf>
    <xf numFmtId="164" fontId="10" fillId="3" borderId="14" xfId="0" applyNumberFormat="1" applyFont="1" applyFill="1" applyBorder="1" applyAlignment="1">
      <alignment vertical="center"/>
    </xf>
    <xf numFmtId="164" fontId="10" fillId="3" borderId="15" xfId="0" applyNumberFormat="1" applyFont="1" applyFill="1" applyBorder="1" applyAlignment="1">
      <alignment vertical="center"/>
    </xf>
    <xf numFmtId="164" fontId="16" fillId="4" borderId="14" xfId="0" applyNumberFormat="1" applyFont="1" applyFill="1" applyBorder="1" applyAlignment="1">
      <alignment vertical="center"/>
    </xf>
    <xf numFmtId="164" fontId="16" fillId="4" borderId="15" xfId="0" applyNumberFormat="1" applyFont="1" applyFill="1" applyBorder="1" applyAlignment="1">
      <alignment vertical="center"/>
    </xf>
    <xf numFmtId="0" fontId="18" fillId="5" borderId="22" xfId="0" applyFont="1" applyFill="1" applyBorder="1" applyAlignment="1">
      <alignment horizontal="right" vertical="center" indent="1"/>
    </xf>
    <xf numFmtId="0" fontId="18" fillId="5" borderId="23" xfId="0" applyFont="1" applyFill="1" applyBorder="1" applyAlignment="1">
      <alignment horizontal="right" vertical="center" indent="1"/>
    </xf>
    <xf numFmtId="0" fontId="20" fillId="0" borderId="0" xfId="0" applyFont="1" applyAlignment="1">
      <alignment vertical="center"/>
    </xf>
    <xf numFmtId="164" fontId="18" fillId="5" borderId="7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2"/>
    </xf>
    <xf numFmtId="0" fontId="17" fillId="2" borderId="1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FDDBB1"/>
      <color rgb="FF8FB9AB"/>
      <color rgb="FFFCC98C"/>
      <color rgb="FFFFCC00"/>
      <color rgb="FF334D63"/>
      <color rgb="FFD5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600" b="1" i="1"/>
              <a:t>Make or Buy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'Make or Buy Analysis'!$B$5</c:f>
              <c:strCache>
                <c:ptCount val="1"/>
                <c:pt idx="0">
                  <c:v>Cost to Make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'Make or Buy Analysis'!$C$5:$F$5</c:f>
              <c:strCache>
                <c:ptCount val="4"/>
                <c:pt idx="0">
                  <c:v>Initial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'Make or Buy Analysis'!$C$14:$F$14</c:f>
              <c:numCache>
                <c:formatCode>_-"$"* #,##0.00_-;\-"$"* #,##0.00_-;_-"$"* "-"??_-;_-@_-</c:formatCode>
                <c:ptCount val="4"/>
                <c:pt idx="0">
                  <c:v>14500</c:v>
                </c:pt>
                <c:pt idx="1">
                  <c:v>16500</c:v>
                </c:pt>
                <c:pt idx="2">
                  <c:v>18500</c:v>
                </c:pt>
                <c:pt idx="3">
                  <c:v>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0-406D-A216-A4198693B51C}"/>
            </c:ext>
          </c:extLst>
        </c:ser>
        <c:ser>
          <c:idx val="1"/>
          <c:order val="1"/>
          <c:tx>
            <c:strRef>
              <c:f>'Make or Buy Analysis'!$B$15</c:f>
              <c:strCache>
                <c:ptCount val="1"/>
                <c:pt idx="0">
                  <c:v>Cost to Buy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strRef>
              <c:f>'Make or Buy Analysis'!$C$5:$F$5</c:f>
              <c:strCache>
                <c:ptCount val="4"/>
                <c:pt idx="0">
                  <c:v>Initial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'Make or Buy Analysis'!$C$24:$F$24</c:f>
              <c:numCache>
                <c:formatCode>_-"$"* #,##0.00_-;\-"$"* #,##0.00_-;_-"$"* "-"??_-;_-@_-</c:formatCode>
                <c:ptCount val="4"/>
                <c:pt idx="0">
                  <c:v>39500</c:v>
                </c:pt>
                <c:pt idx="1">
                  <c:v>39500</c:v>
                </c:pt>
                <c:pt idx="2">
                  <c:v>41000</c:v>
                </c:pt>
                <c:pt idx="3">
                  <c:v>42500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0-406D-A216-A4198693B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574088"/>
        <c:axId val="628574480"/>
      </c:lineChart>
      <c:catAx>
        <c:axId val="62857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74480"/>
        <c:crosses val="autoZero"/>
        <c:auto val="1"/>
        <c:lblAlgn val="ctr"/>
        <c:lblOffset val="100"/>
        <c:noMultiLvlLbl val="0"/>
      </c:catAx>
      <c:valAx>
        <c:axId val="6285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7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142091</xdr:colOff>
      <xdr:row>1</xdr:row>
      <xdr:rowOff>2465</xdr:rowOff>
    </xdr:from>
    <xdr:to>
      <xdr:col>14</xdr:col>
      <xdr:colOff>484094</xdr:colOff>
      <xdr:row>12</xdr:row>
      <xdr:rowOff>281940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3C0D0-A693-426D-9695-CF823CB92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2721-C234-4E26-B31E-730164FD822F}">
  <dimension ref="B1:I24"/>
  <sheetViews>
    <sheetView showGridLines="0" tabSelected="1" zoomScaleNormal="100" workbookViewId="0">
      <selection activeCell="O32" sqref="O32"/>
    </sheetView>
  </sheetViews>
  <sheetFormatPr defaultRowHeight="15" customHeight="1"/>
  <cols>
    <col min="1" max="1" width="1.5703125" customWidth="1"/>
    <col min="2" max="2" width="27" bestFit="1" customWidth="1"/>
    <col min="3" max="6" width="12.85546875" customWidth="1"/>
    <col min="7" max="7" width="12" bestFit="1" customWidth="1"/>
    <col min="9" max="9" width="11.28515625" bestFit="1" customWidth="1"/>
  </cols>
  <sheetData>
    <row r="1" spans="2:9" ht="8.4499999999999993" customHeight="1"/>
    <row r="2" spans="2:9" ht="33.75" customHeight="1">
      <c r="B2" s="39" t="s">
        <v>0</v>
      </c>
      <c r="C2" s="40"/>
      <c r="D2" s="40"/>
      <c r="E2" s="40"/>
      <c r="F2" s="40"/>
      <c r="G2" s="41"/>
      <c r="I2" s="1"/>
    </row>
    <row r="3" spans="2:9" ht="38.450000000000003" customHeight="1">
      <c r="B3" s="3"/>
      <c r="C3" s="4"/>
      <c r="D3" s="5" t="s">
        <v>1</v>
      </c>
      <c r="E3" s="42" t="s">
        <v>2</v>
      </c>
      <c r="F3" s="42"/>
      <c r="G3" s="6"/>
      <c r="I3" s="1"/>
    </row>
    <row r="4" spans="2:9" ht="25.15" customHeight="1">
      <c r="B4" s="2"/>
      <c r="C4" s="28" t="s">
        <v>3</v>
      </c>
      <c r="D4" s="43" t="s">
        <v>4</v>
      </c>
      <c r="E4" s="43"/>
      <c r="F4" s="43"/>
      <c r="G4" s="7" t="s">
        <v>5</v>
      </c>
    </row>
    <row r="5" spans="2:9" ht="25.15" customHeight="1">
      <c r="B5" s="18" t="s">
        <v>6</v>
      </c>
      <c r="C5" s="19" t="s">
        <v>7</v>
      </c>
      <c r="D5" s="19" t="s">
        <v>8</v>
      </c>
      <c r="E5" s="19" t="s">
        <v>9</v>
      </c>
      <c r="F5" s="19" t="s">
        <v>10</v>
      </c>
      <c r="G5" s="8"/>
    </row>
    <row r="6" spans="2:9" ht="42.75" customHeight="1">
      <c r="B6" s="20" t="s">
        <v>11</v>
      </c>
      <c r="C6" s="21">
        <v>12000</v>
      </c>
      <c r="D6" s="21" t="s">
        <v>12</v>
      </c>
      <c r="E6" s="21" t="s">
        <v>12</v>
      </c>
      <c r="F6" s="21" t="s">
        <v>12</v>
      </c>
      <c r="G6" s="31">
        <f>SUM(C6:F6)</f>
        <v>12000</v>
      </c>
      <c r="I6" s="10"/>
    </row>
    <row r="7" spans="2:9" ht="32.25" customHeight="1">
      <c r="B7" s="22" t="s">
        <v>13</v>
      </c>
      <c r="C7" s="23">
        <v>2000</v>
      </c>
      <c r="D7" s="23">
        <v>2000</v>
      </c>
      <c r="E7" s="23" t="s">
        <v>12</v>
      </c>
      <c r="F7" s="23" t="s">
        <v>12</v>
      </c>
      <c r="G7" s="32">
        <f>SUM(C7:F7)</f>
        <v>4000</v>
      </c>
    </row>
    <row r="8" spans="2:9" ht="25.15" customHeight="1">
      <c r="B8" s="22" t="s">
        <v>14</v>
      </c>
      <c r="C8" s="23">
        <v>500</v>
      </c>
      <c r="D8" s="23" t="s">
        <v>12</v>
      </c>
      <c r="E8" s="23" t="s">
        <v>12</v>
      </c>
      <c r="F8" s="23" t="s">
        <v>12</v>
      </c>
      <c r="G8" s="32">
        <f>SUM(C8:F8)</f>
        <v>500</v>
      </c>
    </row>
    <row r="9" spans="2:9" ht="25.15" customHeight="1">
      <c r="B9" s="22" t="s">
        <v>15</v>
      </c>
      <c r="C9" s="23" t="s">
        <v>12</v>
      </c>
      <c r="D9" s="23" t="s">
        <v>12</v>
      </c>
      <c r="E9" s="23">
        <v>2000</v>
      </c>
      <c r="F9" s="23">
        <v>2000</v>
      </c>
      <c r="G9" s="32">
        <f>SUM(C9:F9)</f>
        <v>4000</v>
      </c>
    </row>
    <row r="10" spans="2:9" ht="25.15" customHeight="1">
      <c r="B10" s="22"/>
      <c r="C10" s="23"/>
      <c r="D10" s="23"/>
      <c r="E10" s="23"/>
      <c r="F10" s="23"/>
      <c r="G10" s="32">
        <f>SUM(C10:F10)</f>
        <v>0</v>
      </c>
    </row>
    <row r="11" spans="2:9" ht="25.15" customHeight="1">
      <c r="B11" s="22"/>
      <c r="C11" s="24"/>
      <c r="D11" s="23"/>
      <c r="E11" s="23"/>
      <c r="F11" s="23"/>
      <c r="G11" s="32">
        <f>SUM(C11:F11)</f>
        <v>0</v>
      </c>
    </row>
    <row r="12" spans="2:9" ht="25.15" customHeight="1">
      <c r="B12" s="22"/>
      <c r="C12" s="24"/>
      <c r="D12" s="23"/>
      <c r="E12" s="23"/>
      <c r="F12" s="23"/>
      <c r="G12" s="32">
        <f>SUM(C12:F12)</f>
        <v>0</v>
      </c>
    </row>
    <row r="13" spans="2:9" ht="25.15" customHeight="1">
      <c r="B13" s="25" t="s">
        <v>5</v>
      </c>
      <c r="C13" s="26">
        <f>SUM(C6:C12)</f>
        <v>14500</v>
      </c>
      <c r="D13" s="26">
        <f t="shared" ref="D13:F13" si="0">SUM(D6:D12)</f>
        <v>2000</v>
      </c>
      <c r="E13" s="26">
        <f t="shared" si="0"/>
        <v>2000</v>
      </c>
      <c r="F13" s="26">
        <f t="shared" si="0"/>
        <v>2000</v>
      </c>
      <c r="G13" s="27">
        <f>SUM(C13:F13)</f>
        <v>20500</v>
      </c>
    </row>
    <row r="14" spans="2:9" ht="25.15" customHeight="1">
      <c r="B14" s="35" t="s">
        <v>16</v>
      </c>
      <c r="C14" s="30">
        <f>C13</f>
        <v>14500</v>
      </c>
      <c r="D14" s="30">
        <f>SUM($C13:D13)</f>
        <v>16500</v>
      </c>
      <c r="E14" s="30">
        <f>SUM($C13:E13)</f>
        <v>18500</v>
      </c>
      <c r="F14" s="30">
        <f>SUM($C13:F13)</f>
        <v>20500</v>
      </c>
      <c r="G14" s="29"/>
    </row>
    <row r="15" spans="2:9" ht="25.15" customHeight="1">
      <c r="B15" s="16" t="s">
        <v>17</v>
      </c>
      <c r="C15" s="11" t="s">
        <v>7</v>
      </c>
      <c r="D15" s="12" t="s">
        <v>8</v>
      </c>
      <c r="E15" s="12" t="s">
        <v>9</v>
      </c>
      <c r="F15" s="12" t="s">
        <v>10</v>
      </c>
      <c r="G15" s="9"/>
    </row>
    <row r="16" spans="2:9" ht="38.25" customHeight="1">
      <c r="B16" s="20" t="s">
        <v>18</v>
      </c>
      <c r="C16" s="21">
        <v>22500</v>
      </c>
      <c r="D16" s="21" t="s">
        <v>12</v>
      </c>
      <c r="E16" s="21" t="s">
        <v>12</v>
      </c>
      <c r="F16" s="21" t="s">
        <v>12</v>
      </c>
      <c r="G16" s="33">
        <f>SUM(C16:F16)</f>
        <v>22500</v>
      </c>
    </row>
    <row r="17" spans="2:9" ht="36" customHeight="1">
      <c r="B17" s="22" t="s">
        <v>19</v>
      </c>
      <c r="C17" s="23">
        <v>15000</v>
      </c>
      <c r="D17" s="23" t="s">
        <v>12</v>
      </c>
      <c r="E17" s="23" t="s">
        <v>12</v>
      </c>
      <c r="F17" s="23" t="s">
        <v>12</v>
      </c>
      <c r="G17" s="34">
        <f>SUM(C17:F17)</f>
        <v>15000</v>
      </c>
    </row>
    <row r="18" spans="2:9" ht="37.5" customHeight="1">
      <c r="B18" s="22" t="s">
        <v>20</v>
      </c>
      <c r="C18" s="23">
        <v>2000</v>
      </c>
      <c r="D18" s="23" t="s">
        <v>12</v>
      </c>
      <c r="E18" s="23" t="s">
        <v>12</v>
      </c>
      <c r="F18" s="23" t="s">
        <v>12</v>
      </c>
      <c r="G18" s="34">
        <f>SUM(C18:F18)</f>
        <v>2000</v>
      </c>
      <c r="H18" s="17"/>
      <c r="I18" s="10"/>
    </row>
    <row r="19" spans="2:9" ht="36.75" customHeight="1">
      <c r="B19" s="22" t="s">
        <v>21</v>
      </c>
      <c r="C19" s="23" t="s">
        <v>12</v>
      </c>
      <c r="D19" s="23" t="s">
        <v>12</v>
      </c>
      <c r="E19" s="23">
        <v>1500</v>
      </c>
      <c r="F19" s="23">
        <v>1500</v>
      </c>
      <c r="G19" s="34">
        <f>SUM(C19:F19)</f>
        <v>3000</v>
      </c>
      <c r="I19" s="37" t="s">
        <v>22</v>
      </c>
    </row>
    <row r="20" spans="2:9" ht="25.15" customHeight="1">
      <c r="B20" s="22"/>
      <c r="C20" s="23"/>
      <c r="D20" s="23"/>
      <c r="E20" s="23"/>
      <c r="F20" s="23"/>
      <c r="G20" s="34">
        <f>SUM(C20:F20)</f>
        <v>0</v>
      </c>
      <c r="I20" s="37" t="s">
        <v>23</v>
      </c>
    </row>
    <row r="21" spans="2:9" ht="25.15" customHeight="1">
      <c r="B21" s="22"/>
      <c r="C21" s="23"/>
      <c r="D21" s="23"/>
      <c r="E21" s="23"/>
      <c r="F21" s="23"/>
      <c r="G21" s="34">
        <f>SUM(C21:F21)</f>
        <v>0</v>
      </c>
    </row>
    <row r="22" spans="2:9" ht="25.15" customHeight="1">
      <c r="B22" s="22"/>
      <c r="C22" s="23"/>
      <c r="D22" s="23"/>
      <c r="E22" s="23"/>
      <c r="F22" s="23"/>
      <c r="G22" s="34">
        <f>SUM(C22:F22)</f>
        <v>0</v>
      </c>
    </row>
    <row r="23" spans="2:9" ht="25.15" customHeight="1">
      <c r="B23" s="13" t="s">
        <v>5</v>
      </c>
      <c r="C23" s="14">
        <f>SUM(C16:C22)</f>
        <v>39500</v>
      </c>
      <c r="D23" s="14">
        <f t="shared" ref="D23:F23" si="1">SUM(D16:D22)</f>
        <v>0</v>
      </c>
      <c r="E23" s="14">
        <f t="shared" si="1"/>
        <v>1500</v>
      </c>
      <c r="F23" s="14">
        <f t="shared" si="1"/>
        <v>1500</v>
      </c>
      <c r="G23" s="15">
        <f>SUM(G16:G22)</f>
        <v>42500</v>
      </c>
    </row>
    <row r="24" spans="2:9" ht="25.15" customHeight="1">
      <c r="B24" s="36" t="s">
        <v>16</v>
      </c>
      <c r="C24" s="30">
        <f>C23</f>
        <v>39500</v>
      </c>
      <c r="D24" s="30">
        <f>SUM($C23:D23)</f>
        <v>39500</v>
      </c>
      <c r="E24" s="30">
        <f>SUM($C23:E23)</f>
        <v>41000</v>
      </c>
      <c r="F24" s="30">
        <f>SUM($C23:F23)</f>
        <v>42500</v>
      </c>
      <c r="G24" s="38"/>
    </row>
  </sheetData>
  <mergeCells count="3">
    <mergeCell ref="E3:F3"/>
    <mergeCell ref="D4:F4"/>
    <mergeCell ref="B2:G2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PCUser</dc:creator>
  <cp:keywords/>
  <dc:description/>
  <cp:lastModifiedBy/>
  <cp:revision/>
  <dcterms:created xsi:type="dcterms:W3CDTF">2021-04-12T04:25:27Z</dcterms:created>
  <dcterms:modified xsi:type="dcterms:W3CDTF">2025-11-15T01:42:52Z</dcterms:modified>
  <cp:category/>
  <cp:contentStatus/>
</cp:coreProperties>
</file>